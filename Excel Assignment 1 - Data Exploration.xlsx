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7d6ce6c5a97742d/Desktop/"/>
    </mc:Choice>
  </mc:AlternateContent>
  <xr:revisionPtr revIDLastSave="0" documentId="14_{E80AF719-DC6D-4D31-862A-14C38ED3B7E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41" i="3" l="1"/>
  <c r="D39" i="3"/>
  <c r="D38" i="3"/>
  <c r="D3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D42" i="3"/>
  <c r="D43" i="3"/>
  <c r="G2" i="3" a="1"/>
  <c r="G2" i="3"/>
  <c r="G3" i="3" a="1"/>
  <c r="G3" i="3" s="1"/>
  <c r="G4" i="3" a="1"/>
  <c r="G4" i="3"/>
  <c r="G5" i="3" a="1"/>
  <c r="G5" i="3"/>
  <c r="G6" i="3" a="1"/>
  <c r="G6" i="3"/>
  <c r="G7" i="3" a="1"/>
  <c r="G7" i="3" s="1"/>
  <c r="G8" i="3" a="1"/>
  <c r="G8" i="3"/>
  <c r="G9" i="3" a="1"/>
  <c r="G9" i="3"/>
  <c r="G10" i="3" a="1"/>
  <c r="G10" i="3"/>
  <c r="G11" i="3" a="1"/>
  <c r="G11" i="3" s="1"/>
  <c r="G12" i="3" a="1"/>
  <c r="G12" i="3"/>
  <c r="G13" i="3" a="1"/>
  <c r="G13" i="3"/>
  <c r="G14" i="3" a="1"/>
  <c r="G14" i="3"/>
  <c r="G15" i="3" a="1"/>
  <c r="G15" i="3" s="1"/>
  <c r="G16" i="3" a="1"/>
  <c r="G16" i="3"/>
  <c r="G17" i="3" a="1"/>
  <c r="G17" i="3"/>
  <c r="G18" i="3" a="1"/>
  <c r="G18" i="3"/>
  <c r="G19" i="3" a="1"/>
  <c r="G19" i="3" s="1"/>
  <c r="G20" i="3" a="1"/>
  <c r="G20" i="3"/>
  <c r="G21" i="3" a="1"/>
  <c r="G21" i="3"/>
  <c r="G22" i="3" a="1"/>
  <c r="G22" i="3"/>
  <c r="G23" i="3" a="1"/>
  <c r="G23" i="3" s="1"/>
  <c r="G24" i="3" a="1"/>
  <c r="G24" i="3"/>
  <c r="G25" i="3" a="1"/>
  <c r="G25" i="3"/>
  <c r="G26" i="3" a="1"/>
  <c r="G26" i="3"/>
  <c r="G27" i="3" a="1"/>
  <c r="G27" i="3" s="1"/>
  <c r="G28" i="3" a="1"/>
  <c r="G28" i="3" s="1"/>
  <c r="G29" i="3" a="1"/>
  <c r="G29" i="3"/>
  <c r="G30" i="3" a="1"/>
  <c r="G30" i="3" s="1"/>
  <c r="G31" i="3" a="1"/>
  <c r="G31" i="3" s="1"/>
  <c r="G32" i="3" a="1"/>
  <c r="G32" i="3"/>
  <c r="G33" i="3" a="1"/>
  <c r="G33" i="3"/>
  <c r="G34" i="3" a="1"/>
  <c r="G34" i="3"/>
  <c r="G35" i="3" a="1"/>
  <c r="G35" i="3" s="1"/>
  <c r="D4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<sst xmlns="http://schemas.openxmlformats.org/spreadsheetml/2006/main" count="312" uniqueCount="121">
  <si>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</si>
  <si>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</si>
  <si>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</si>
  <si>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</si>
  <si>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</si>
  <si>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</si>
  <si>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</si>
  <si>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</si>
  <si>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</si>
  <si>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</si>
  <si>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</si>
  <si>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</si>
  <si>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</si>
  <si>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</si>
  <si>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</si>
  <si>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</si>
  <si>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</si>
  <si>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</si>
  <si>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</si>
  <si>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</si>
  <si>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</si>
  <si>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</si>
  <si>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</si>
  <si>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</si>
  <si>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</si>
  <si>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</si>
  <si>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</si>
  <si>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</si>
  <si>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</si>
  <si>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</si>
  <si>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</si>
  <si>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</si>
  <si>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</si>
  <si>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</si>
  <si>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</si>
  <si>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</si>
  <si>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</si>
  <si>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</si>
  <si>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</si>
  <si>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</si>
  <si>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</si>
  <si>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</si>
  <si>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</si>
  <si>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</si>
  <si>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</si>
  <si>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</si>
  <si>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</si>
  <si>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</si>
  <si>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</si>
  <si>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</si>
  <si>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</si>
  <si>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</si>
  <si>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</si>
  <si>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</si>
  <si>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</si>
  <si>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</si>
  <si>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</si>
  <si>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</si>
  <si>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</si>
  <si>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</si>
  <si>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</si>
  <si>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</si>
  <si>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</si>
  <si>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</si>
  <si>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</si>
  <si>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</si>
  <si>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</si>
  <si>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</si>
  <si>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</si>
  <si>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</si>
  <si>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</si>
  <si>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</si>
  <si>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</si>
  <si>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</si>
  <si>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</si>
  <si>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</si>
  <si>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</si>
  <si>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</si>
  <si>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</si>
  <si>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</si>
  <si>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</si>
  <si>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</si>
  <si>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</si>
  <si>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</si>
  <si>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</si>
  <si>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</si>
  <si>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</si>
  <si>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</si>
  <si>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</si>
  <si>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</si>
  <si>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</si>
  <si>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</si>
  <si>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</si>
  <si>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</si>
  <si>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</si>
  <si>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</si>
  <si>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</si>
  <si>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</si>
  <si>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</si>
  <si>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</si>
  <si>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</si>
  <si>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</si>
  <si>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</si>
  <si>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</si>
  <si>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</si>
  <si>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</si>
  <si>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</si>
  <si>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</si>
  <si>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</si>
  <si>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</si>
  <si>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</si>
  <si>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Total Products</t>
  </si>
  <si>
    <t>Average Price</t>
  </si>
  <si>
    <t xml:space="preserve">Minimum price </t>
  </si>
  <si>
    <t>Naxium Price</t>
  </si>
  <si>
    <t>Price Range</t>
  </si>
  <si>
    <t>Total price for products in the 'Electronics' category</t>
  </si>
  <si>
    <t>count of products with a price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</si>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</sst>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0" fillId="5" borderId="0" xfId="0" applyFill="1"/>
    <xf numFmtId="0" fontId="7" fillId="0" borderId="0" xfId="0" applyFont="1"/>
    <xf numFmtId="0" fontId="8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B3" sqref="B3:N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32" workbookViewId="0">
      <selection activeCell="K28" sqref="K28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F5FB-F6BD-4BF0-841B-0B41A7D451B7}">
  <dimension ref="A1:J43"/>
  <sheetViews>
    <sheetView tabSelected="1" topLeftCell="A14" workbookViewId="0">
      <selection activeCell="D42" sqref="D42"/>
    </sheetView>
  </sheetViews>
  <sheetFormatPr defaultRowHeight="13.2" x14ac:dyDescent="0.25"/>
  <cols>
    <col min="1" max="1" width="13.77734375" customWidth="1"/>
    <col min="2" max="2" width="16.33203125" customWidth="1"/>
    <col min="3" max="3" width="14.77734375" customWidth="1"/>
    <col min="4" max="4" width="9.5546875" customWidth="1"/>
    <col min="5" max="5" width="15.44140625" customWidth="1"/>
    <col min="6" max="6" width="11" bestFit="1" customWidth="1"/>
    <col min="7" max="7" width="20.77734375" customWidth="1"/>
    <col min="9" max="9" width="11.77734375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115</v>
      </c>
      <c r="H1" s="13" t="s">
        <v>118</v>
      </c>
      <c r="I1" s="11" t="s">
        <v>119</v>
      </c>
      <c r="J1" s="11" t="s">
        <v>120</v>
      </c>
    </row>
    <row r="2" spans="1:10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 cm="1">
        <f t="array" ref="G2">_xlfn.IFS(D1&gt;=500, " High Price", D1&lt;500, "Standard Price")</f>
        <v xml:space="preserve"> High Price</v>
      </c>
      <c r="H2" s="14" t="str">
        <f>LEFT(A2,2)</f>
        <v>28</v>
      </c>
      <c r="I2" s="14" t="str">
        <f>RIGHT(A2,2)</f>
        <v>US</v>
      </c>
      <c r="J2" s="14" t="str">
        <f>MID(A2,4,3)</f>
        <v>JAN</v>
      </c>
    </row>
    <row r="3" spans="1:10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 cm="1">
        <f t="array" ref="G3">_xlfn.IFS(D2&gt;=500, " High Price", D2&lt;500, "Standard Price")</f>
        <v xml:space="preserve"> High Price</v>
      </c>
      <c r="H3" s="14" t="str">
        <f t="shared" ref="H3:H35" si="0">LEFT(A3,2)</f>
        <v>15</v>
      </c>
      <c r="I3" s="14" t="str">
        <f t="shared" ref="I3:I35" si="1">RIGHT(A3,2)</f>
        <v>US</v>
      </c>
      <c r="J3" s="14" t="str">
        <f t="shared" ref="J3:J35" si="2">MID(A3,4,3)</f>
        <v>FEB</v>
      </c>
    </row>
    <row r="4" spans="1:10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 cm="1">
        <f t="array" ref="G4">_xlfn.IFS(D3&gt;=500, " High Price", D3&lt;500, "Standard Price")</f>
        <v>Standard Price</v>
      </c>
      <c r="H4" s="14" t="str">
        <f t="shared" si="0"/>
        <v>03</v>
      </c>
      <c r="I4" s="14" t="str">
        <f t="shared" si="1"/>
        <v>US</v>
      </c>
      <c r="J4" s="14" t="str">
        <f t="shared" si="2"/>
        <v>MAR</v>
      </c>
    </row>
    <row r="5" spans="1:10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 cm="1">
        <f t="array" ref="G5">_xlfn.IFS(D4&gt;=500, " High Price", D4&lt;500, "Standard Price")</f>
        <v>Standard Price</v>
      </c>
      <c r="H5" s="14" t="str">
        <f t="shared" si="0"/>
        <v>11</v>
      </c>
      <c r="I5" s="14" t="str">
        <f t="shared" si="1"/>
        <v>US</v>
      </c>
      <c r="J5" s="14" t="str">
        <f t="shared" si="2"/>
        <v>APR</v>
      </c>
    </row>
    <row r="6" spans="1:10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 cm="1">
        <f t="array" ref="G6">_xlfn.IFS(D5&gt;=500, " High Price", D5&lt;500, "Standard Price")</f>
        <v xml:space="preserve"> High Price</v>
      </c>
      <c r="H6" s="14" t="str">
        <f t="shared" si="0"/>
        <v>22</v>
      </c>
      <c r="I6" s="14" t="str">
        <f t="shared" si="1"/>
        <v>US</v>
      </c>
      <c r="J6" s="14" t="str">
        <f t="shared" si="2"/>
        <v>MAY</v>
      </c>
    </row>
    <row r="7" spans="1:10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 cm="1">
        <f t="array" ref="G7">_xlfn.IFS(D6&gt;=500, " High Price", D6&lt;500, "Standard Price")</f>
        <v>Standard Price</v>
      </c>
      <c r="H7" s="14" t="str">
        <f t="shared" si="0"/>
        <v>07</v>
      </c>
      <c r="I7" s="14" t="str">
        <f t="shared" si="1"/>
        <v>UK</v>
      </c>
      <c r="J7" s="14" t="str">
        <f t="shared" si="2"/>
        <v>JUN</v>
      </c>
    </row>
    <row r="8" spans="1:10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 cm="1">
        <f t="array" ref="G8">_xlfn.IFS(D7&gt;=500, " High Price", D7&lt;500, "Standard Price")</f>
        <v>Standard Price</v>
      </c>
      <c r="H8" s="14" t="str">
        <f t="shared" si="0"/>
        <v>19</v>
      </c>
      <c r="I8" s="14" t="str">
        <f t="shared" si="1"/>
        <v>UK</v>
      </c>
      <c r="J8" s="14" t="str">
        <f t="shared" si="2"/>
        <v>JUL</v>
      </c>
    </row>
    <row r="9" spans="1:10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 cm="1">
        <f t="array" ref="G9">_xlfn.IFS(D8&gt;=500, " High Price", D8&lt;500, "Standard Price")</f>
        <v>Standard Price</v>
      </c>
      <c r="H9" s="14" t="str">
        <f t="shared" si="0"/>
        <v>23</v>
      </c>
      <c r="I9" s="14" t="str">
        <f t="shared" si="1"/>
        <v>UK</v>
      </c>
      <c r="J9" s="14" t="str">
        <f t="shared" si="2"/>
        <v>AUG</v>
      </c>
    </row>
    <row r="10" spans="1:10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 cm="1">
        <f t="array" ref="G10">_xlfn.IFS(D9&gt;=500, " High Price", D9&lt;500, "Standard Price")</f>
        <v>Standard Price</v>
      </c>
      <c r="H10" s="14" t="str">
        <f t="shared" si="0"/>
        <v>05</v>
      </c>
      <c r="I10" s="14" t="str">
        <f t="shared" si="1"/>
        <v>UK</v>
      </c>
      <c r="J10" s="14" t="str">
        <f t="shared" si="2"/>
        <v>SEP</v>
      </c>
    </row>
    <row r="11" spans="1:10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 cm="1">
        <f t="array" ref="G11">_xlfn.IFS(D10&gt;=500, " High Price", D10&lt;500, "Standard Price")</f>
        <v xml:space="preserve"> High Price</v>
      </c>
      <c r="H11" s="14" t="str">
        <f t="shared" si="0"/>
        <v>14</v>
      </c>
      <c r="I11" s="14" t="str">
        <f t="shared" si="1"/>
        <v>UK</v>
      </c>
      <c r="J11" s="14" t="str">
        <f t="shared" si="2"/>
        <v>OCT</v>
      </c>
    </row>
    <row r="12" spans="1:10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 cm="1">
        <f t="array" ref="G12">_xlfn.IFS(D11&gt;=500, " High Price", D11&lt;500, "Standard Price")</f>
        <v>Standard Price</v>
      </c>
      <c r="H12" s="14" t="str">
        <f t="shared" si="0"/>
        <v>17</v>
      </c>
      <c r="I12" s="14" t="str">
        <f t="shared" si="1"/>
        <v>IN</v>
      </c>
      <c r="J12" s="14" t="str">
        <f t="shared" si="2"/>
        <v>JUN</v>
      </c>
    </row>
    <row r="13" spans="1:10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 cm="1">
        <f t="array" ref="G13">_xlfn.IFS(D12&gt;=500, " High Price", D12&lt;500, "Standard Price")</f>
        <v xml:space="preserve"> High Price</v>
      </c>
      <c r="H13" s="14" t="str">
        <f t="shared" si="0"/>
        <v>25</v>
      </c>
      <c r="I13" s="14" t="str">
        <f t="shared" si="1"/>
        <v>AU</v>
      </c>
      <c r="J13" s="14" t="str">
        <f t="shared" si="2"/>
        <v>NOV</v>
      </c>
    </row>
    <row r="14" spans="1:10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 cm="1">
        <f t="array" ref="G14">_xlfn.IFS(D13&gt;=500, " High Price", D13&lt;500, "Standard Price")</f>
        <v>Standard Price</v>
      </c>
      <c r="H14" s="14" t="str">
        <f t="shared" si="0"/>
        <v>08</v>
      </c>
      <c r="I14" s="14" t="str">
        <f t="shared" si="1"/>
        <v>DE</v>
      </c>
      <c r="J14" s="14" t="str">
        <f t="shared" si="2"/>
        <v>DEC</v>
      </c>
    </row>
    <row r="15" spans="1:10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 cm="1">
        <f t="array" ref="G15">_xlfn.IFS(D14&gt;=500, " High Price", D14&lt;500, "Standard Price")</f>
        <v>Standard Price</v>
      </c>
      <c r="H15" s="14" t="str">
        <f t="shared" si="0"/>
        <v>18</v>
      </c>
      <c r="I15" s="14" t="str">
        <f t="shared" si="1"/>
        <v>CA</v>
      </c>
      <c r="J15" s="14" t="str">
        <f t="shared" si="2"/>
        <v>FEB</v>
      </c>
    </row>
    <row r="16" spans="1:10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 cm="1">
        <f t="array" ref="G16">_xlfn.IFS(D15&gt;=500, " High Price", D15&lt;500, "Standard Price")</f>
        <v>Standard Price</v>
      </c>
      <c r="H16" s="14" t="str">
        <f t="shared" si="0"/>
        <v>16</v>
      </c>
      <c r="I16" s="14" t="str">
        <f t="shared" si="1"/>
        <v>ES</v>
      </c>
      <c r="J16" s="14" t="str">
        <f t="shared" si="2"/>
        <v>APR</v>
      </c>
    </row>
    <row r="17" spans="1:10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 cm="1">
        <f t="array" ref="G17">_xlfn.IFS(D16&gt;=500, " High Price", D16&lt;500, "Standard Price")</f>
        <v>Standard Price</v>
      </c>
      <c r="H17" s="14" t="str">
        <f t="shared" si="0"/>
        <v>21</v>
      </c>
      <c r="I17" s="14" t="str">
        <f t="shared" si="1"/>
        <v>CA</v>
      </c>
      <c r="J17" s="14" t="str">
        <f t="shared" si="2"/>
        <v>AUG</v>
      </c>
    </row>
    <row r="18" spans="1:10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 cm="1">
        <f t="array" ref="G18">_xlfn.IFS(D17&gt;=500, " High Price", D17&lt;500, "Standard Price")</f>
        <v>Standard Price</v>
      </c>
      <c r="H18" s="14" t="str">
        <f t="shared" si="0"/>
        <v>20</v>
      </c>
      <c r="I18" s="14" t="str">
        <f t="shared" si="1"/>
        <v>CN</v>
      </c>
      <c r="J18" s="14" t="str">
        <f t="shared" si="2"/>
        <v>AUG</v>
      </c>
    </row>
    <row r="19" spans="1:10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 cm="1">
        <f t="array" ref="G19">_xlfn.IFS(D18&gt;=500, " High Price", D18&lt;500, "Standard Price")</f>
        <v>Standard Price</v>
      </c>
      <c r="H19" s="14" t="str">
        <f t="shared" si="0"/>
        <v>27</v>
      </c>
      <c r="I19" s="14" t="str">
        <f t="shared" si="1"/>
        <v>IT</v>
      </c>
      <c r="J19" s="14" t="str">
        <f t="shared" si="2"/>
        <v>JAN</v>
      </c>
    </row>
    <row r="20" spans="1:10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 cm="1">
        <f t="array" ref="G20">_xlfn.IFS(D19&gt;=500, " High Price", D19&lt;500, "Standard Price")</f>
        <v xml:space="preserve"> High Price</v>
      </c>
      <c r="H20" s="14" t="str">
        <f t="shared" si="0"/>
        <v>01</v>
      </c>
      <c r="I20" s="14" t="str">
        <f t="shared" si="1"/>
        <v>UK</v>
      </c>
      <c r="J20" s="14" t="str">
        <f t="shared" si="2"/>
        <v>MAR</v>
      </c>
    </row>
    <row r="21" spans="1:10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 cm="1">
        <f t="array" ref="G21">_xlfn.IFS(D20&gt;=500, " High Price", D20&lt;500, "Standard Price")</f>
        <v>Standard Price</v>
      </c>
      <c r="H21" s="14" t="str">
        <f t="shared" si="0"/>
        <v>14</v>
      </c>
      <c r="I21" s="14" t="str">
        <f t="shared" si="1"/>
        <v>US</v>
      </c>
      <c r="J21" s="14" t="str">
        <f t="shared" si="2"/>
        <v>AUG</v>
      </c>
    </row>
    <row r="22" spans="1:10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 cm="1">
        <f t="array" ref="G22">_xlfn.IFS(D21&gt;=500, " High Price", D21&lt;500, "Standard Price")</f>
        <v>Standard Price</v>
      </c>
      <c r="H22" s="14" t="str">
        <f t="shared" si="0"/>
        <v>14</v>
      </c>
      <c r="I22" s="14" t="str">
        <f t="shared" si="1"/>
        <v>RU</v>
      </c>
      <c r="J22" s="14" t="str">
        <f t="shared" si="2"/>
        <v>MAY</v>
      </c>
    </row>
    <row r="23" spans="1:10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 cm="1">
        <f t="array" ref="G23">_xlfn.IFS(D22&gt;=500, " High Price", D22&lt;500, "Standard Price")</f>
        <v xml:space="preserve"> High Price</v>
      </c>
      <c r="H23" s="14" t="str">
        <f t="shared" si="0"/>
        <v>09</v>
      </c>
      <c r="I23" s="14" t="str">
        <f t="shared" si="1"/>
        <v>CA</v>
      </c>
      <c r="J23" s="14" t="str">
        <f t="shared" si="2"/>
        <v>JAN</v>
      </c>
    </row>
    <row r="24" spans="1:10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 cm="1">
        <f t="array" ref="G24">_xlfn.IFS(D23&gt;=500, " High Price", D23&lt;500, "Standard Price")</f>
        <v>Standard Price</v>
      </c>
      <c r="H24" s="14" t="str">
        <f t="shared" si="0"/>
        <v>19</v>
      </c>
      <c r="I24" s="14" t="str">
        <f t="shared" si="1"/>
        <v>BR</v>
      </c>
      <c r="J24" s="14" t="str">
        <f t="shared" si="2"/>
        <v>JUL</v>
      </c>
    </row>
    <row r="25" spans="1:10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 cm="1">
        <f t="array" ref="G25">_xlfn.IFS(D24&gt;=500, " High Price", D24&lt;500, "Standard Price")</f>
        <v>Standard Price</v>
      </c>
      <c r="H25" s="14" t="str">
        <f t="shared" si="0"/>
        <v>21</v>
      </c>
      <c r="I25" s="14" t="str">
        <f t="shared" si="1"/>
        <v>CA</v>
      </c>
      <c r="J25" s="14" t="str">
        <f t="shared" si="2"/>
        <v>AUG</v>
      </c>
    </row>
    <row r="26" spans="1:10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 cm="1">
        <f t="array" ref="G26">_xlfn.IFS(D25&gt;=500, " High Price", D25&lt;500, "Standard Price")</f>
        <v>Standard Price</v>
      </c>
      <c r="H26" s="14" t="str">
        <f t="shared" si="0"/>
        <v>29</v>
      </c>
      <c r="I26" s="14" t="str">
        <f t="shared" si="1"/>
        <v>CA</v>
      </c>
      <c r="J26" s="14" t="str">
        <f t="shared" si="2"/>
        <v>SEP</v>
      </c>
    </row>
    <row r="27" spans="1:10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 cm="1">
        <f t="array" ref="G27">_xlfn.IFS(D26&gt;=500, " High Price", D26&lt;500, "Standard Price")</f>
        <v xml:space="preserve"> High Price</v>
      </c>
      <c r="H27" s="14" t="str">
        <f t="shared" si="0"/>
        <v>03</v>
      </c>
      <c r="I27" s="14" t="str">
        <f t="shared" si="1"/>
        <v>CA</v>
      </c>
      <c r="J27" s="14" t="str">
        <f t="shared" si="2"/>
        <v>JUN</v>
      </c>
    </row>
    <row r="28" spans="1:10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 cm="1">
        <f t="array" ref="G28">_xlfn.IFS(D27&gt;=500, " High Price", D27&lt;500, "Standard Price")</f>
        <v>Standard Price</v>
      </c>
      <c r="H28" s="14" t="str">
        <f t="shared" si="0"/>
        <v>11</v>
      </c>
      <c r="I28" s="14" t="str">
        <f t="shared" si="1"/>
        <v>CA</v>
      </c>
      <c r="J28" s="14" t="str">
        <f t="shared" si="2"/>
        <v>JUL</v>
      </c>
    </row>
    <row r="29" spans="1:10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 cm="1">
        <f t="array" ref="G29">_xlfn.IFS(D28&gt;=500, " High Price", D28&lt;500, "Standard Price")</f>
        <v>Standard Price</v>
      </c>
      <c r="H29" s="14" t="str">
        <f t="shared" si="0"/>
        <v>16</v>
      </c>
      <c r="I29" s="14" t="str">
        <f t="shared" si="1"/>
        <v>ES</v>
      </c>
      <c r="J29" s="14" t="str">
        <f t="shared" si="2"/>
        <v>APR</v>
      </c>
    </row>
    <row r="30" spans="1:10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 cm="1">
        <f t="array" ref="G30">_xlfn.IFS(D29&gt;=500, " High Price", D29&lt;500, "Standard Price")</f>
        <v>Standard Price</v>
      </c>
      <c r="H30" s="14" t="str">
        <f t="shared" si="0"/>
        <v>07</v>
      </c>
      <c r="I30" s="14" t="str">
        <f t="shared" si="1"/>
        <v>CA</v>
      </c>
      <c r="J30" s="14" t="str">
        <f t="shared" si="2"/>
        <v>MAR</v>
      </c>
    </row>
    <row r="31" spans="1:10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 cm="1">
        <f t="array" ref="G31">_xlfn.IFS(D30&gt;=500, " High Price", D30&lt;500, "Standard Price")</f>
        <v>Standard Price</v>
      </c>
      <c r="H31" s="14" t="str">
        <f t="shared" si="0"/>
        <v>13</v>
      </c>
      <c r="I31" s="14" t="str">
        <f t="shared" si="1"/>
        <v>CA</v>
      </c>
      <c r="J31" s="14" t="str">
        <f t="shared" si="2"/>
        <v>APR</v>
      </c>
    </row>
    <row r="32" spans="1:10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 cm="1">
        <f t="array" ref="G32">_xlfn.IFS(D31&gt;=500, " High Price", D31&lt;500, "Standard Price")</f>
        <v>Standard Price</v>
      </c>
      <c r="H32" s="14" t="str">
        <f t="shared" si="0"/>
        <v>24</v>
      </c>
      <c r="I32" s="14" t="str">
        <f t="shared" si="1"/>
        <v>CA</v>
      </c>
      <c r="J32" s="14" t="str">
        <f t="shared" si="2"/>
        <v>MAY</v>
      </c>
    </row>
    <row r="33" spans="1:10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 cm="1">
        <f t="array" ref="G33">_xlfn.IFS(D32&gt;=500, " High Price", D32&lt;500, "Standard Price")</f>
        <v>Standard Price</v>
      </c>
      <c r="H33" s="14" t="str">
        <f t="shared" si="0"/>
        <v>02</v>
      </c>
      <c r="I33" s="14" t="str">
        <f t="shared" si="1"/>
        <v>CA</v>
      </c>
      <c r="J33" s="14" t="str">
        <f t="shared" si="2"/>
        <v>DEC</v>
      </c>
    </row>
    <row r="34" spans="1:10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 cm="1">
        <f t="array" ref="G34">_xlfn.IFS(D33&gt;=500, " High Price", D33&lt;500, "Standard Price")</f>
        <v>Standard Price</v>
      </c>
      <c r="H34" s="14" t="str">
        <f t="shared" si="0"/>
        <v>17</v>
      </c>
      <c r="I34" s="14" t="str">
        <f t="shared" si="1"/>
        <v>IN</v>
      </c>
      <c r="J34" s="14" t="str">
        <f t="shared" si="2"/>
        <v>JUN</v>
      </c>
    </row>
    <row r="35" spans="1:10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 cm="1">
        <f t="array" ref="G35">_xlfn.IFS(D34&gt;=500, " High Price", D34&lt;500, "Standard Price")</f>
        <v xml:space="preserve"> High Price</v>
      </c>
      <c r="H35" s="14" t="str">
        <f t="shared" si="0"/>
        <v>09</v>
      </c>
      <c r="I35" s="14" t="str">
        <f t="shared" si="1"/>
        <v>FR</v>
      </c>
      <c r="J35" s="14" t="str">
        <f t="shared" si="2"/>
        <v>JUL</v>
      </c>
    </row>
    <row r="37" spans="1:10" x14ac:dyDescent="0.25">
      <c r="A37" s="12" t="s">
        <v>110</v>
      </c>
      <c r="B37" s="12"/>
      <c r="C37" s="12"/>
      <c r="D37" s="10">
        <f>SUM(D2:D35)</f>
        <v>10100</v>
      </c>
    </row>
    <row r="38" spans="1:10" x14ac:dyDescent="0.25">
      <c r="A38" s="12" t="s">
        <v>111</v>
      </c>
      <c r="B38" s="12"/>
      <c r="C38" s="12"/>
      <c r="D38" s="10">
        <f>SUM(E2:E35)</f>
        <v>900</v>
      </c>
    </row>
    <row r="39" spans="1:10" x14ac:dyDescent="0.25">
      <c r="A39" s="12" t="s">
        <v>112</v>
      </c>
      <c r="B39" s="12"/>
      <c r="C39" s="12"/>
      <c r="D39" s="10">
        <f>AVERAGE(D2:D35)</f>
        <v>297.05882352941177</v>
      </c>
    </row>
    <row r="40" spans="1:10" x14ac:dyDescent="0.25">
      <c r="A40" s="10" t="s">
        <v>113</v>
      </c>
      <c r="B40" s="10"/>
      <c r="C40" s="10"/>
      <c r="D40" s="10">
        <f>MIN(D2:D35)</f>
        <v>30</v>
      </c>
    </row>
    <row r="41" spans="1:10" x14ac:dyDescent="0.25">
      <c r="A41" s="12" t="s">
        <v>114</v>
      </c>
      <c r="B41" s="12"/>
      <c r="C41" s="12"/>
      <c r="D41" s="10">
        <f>MAX(D2:D35)</f>
        <v>1000</v>
      </c>
    </row>
    <row r="42" spans="1:10" x14ac:dyDescent="0.25">
      <c r="A42" s="12" t="s">
        <v>116</v>
      </c>
      <c r="B42" s="12"/>
      <c r="C42" s="12"/>
      <c r="D42" s="10">
        <f>SUMIF(F2:F35,"Electronics",D2:D35)</f>
        <v>8050</v>
      </c>
    </row>
    <row r="43" spans="1:10" x14ac:dyDescent="0.25">
      <c r="A43" s="12" t="s">
        <v>117</v>
      </c>
      <c r="B43" s="12"/>
      <c r="C43" s="12"/>
      <c r="D43" s="10">
        <f>COUNTIF(D2:D35,"&lt;100")</f>
        <v>11</v>
      </c>
    </row>
  </sheetData>
  <mergeCells count="6">
    <mergeCell ref="A37:C37"/>
    <mergeCell ref="A38:C38"/>
    <mergeCell ref="A39:C39"/>
    <mergeCell ref="A41:C41"/>
    <mergeCell ref="A42:C42"/>
    <mergeCell ref="A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Jinod Abraham</cp:lastModifiedBy>
  <dcterms:created xsi:type="dcterms:W3CDTF">2026-09-29T16:22:01Z</dcterms:created>
  <dcterms:modified xsi:type="dcterms:W3CDTF">2026-09-29T16:22:01Z</dcterms:modified>
</cp:coreProperties>
</file>